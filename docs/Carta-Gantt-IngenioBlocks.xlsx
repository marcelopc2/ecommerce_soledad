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ta Gant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"/>
    <numFmt numFmtId="166" formatCode="dd-mmm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FFFFFF"/>
      <sz val="10.5"/>
    </font>
    <font>
      <name val="Arial"/>
      <b val="1"/>
      <color rgb="00FFFFFF"/>
      <sz val="10"/>
    </font>
    <font>
      <name val="Arial"/>
      <b val="1"/>
      <color rgb="00FFFFFF"/>
      <sz val="8"/>
    </font>
    <font>
      <name val="Arial"/>
      <b val="1"/>
      <color rgb="00FFFFFF"/>
      <sz val="10.5"/>
    </font>
    <font>
      <name val="Arial"/>
      <b val="1"/>
      <color rgb="00FFFFFF"/>
      <sz val="9.5"/>
    </font>
    <font>
      <name val="Arial"/>
      <color rgb="002B2B2B"/>
      <sz val="10"/>
    </font>
    <font>
      <name val="Arial"/>
      <color rgb="002B2B2B"/>
      <sz val="9.5"/>
    </font>
    <font>
      <name val="Arial"/>
      <b val="1"/>
      <color rgb="002B2B2B"/>
      <sz val="10"/>
    </font>
    <font>
      <name val="Arial"/>
      <b val="1"/>
      <color rgb="002F0053"/>
      <sz val="10"/>
    </font>
    <font>
      <name val="Arial"/>
      <i val="1"/>
      <color rgb="007A5C00"/>
      <sz val="9"/>
    </font>
  </fonts>
  <fills count="9">
    <fill>
      <patternFill/>
    </fill>
    <fill>
      <patternFill patternType="gray125"/>
    </fill>
    <fill>
      <patternFill patternType="solid">
        <fgColor rgb="002F0053"/>
      </patternFill>
    </fill>
    <fill>
      <patternFill patternType="solid">
        <fgColor rgb="00590599"/>
      </patternFill>
    </fill>
    <fill>
      <patternFill patternType="solid">
        <fgColor rgb="008E7BA6"/>
      </patternFill>
    </fill>
    <fill>
      <patternFill patternType="solid">
        <fgColor rgb="00EDEDED"/>
      </patternFill>
    </fill>
    <fill>
      <patternFill patternType="solid">
        <fgColor rgb="00E8871A"/>
      </patternFill>
    </fill>
    <fill>
      <patternFill patternType="solid">
        <fgColor rgb="00FFCB00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left style="thin">
        <color rgb="00D4D4D4"/>
      </left>
      <right style="thin">
        <color rgb="00D4D4D4"/>
      </right>
      <top style="thin">
        <color rgb="00D4D4D4"/>
      </top>
      <bottom style="thin">
        <color rgb="00D4D4D4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0" fillId="0" borderId="1" pivotButton="0" quotePrefix="0" xfId="0"/>
    <xf numFmtId="165" fontId="3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left" vertical="center" indent="1"/>
    </xf>
    <xf numFmtId="0" fontId="0" fillId="2" borderId="1" applyAlignment="1" pivotButton="0" quotePrefix="0" xfId="0">
      <alignment horizontal="center"/>
    </xf>
    <xf numFmtId="166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0" borderId="1" applyAlignment="1" pivotButton="0" quotePrefix="0" xfId="0">
      <alignment horizontal="left" vertical="center" indent="2"/>
    </xf>
    <xf numFmtId="0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 indent="2"/>
    </xf>
    <xf numFmtId="0" fontId="10" fillId="0" borderId="0" pivotButton="0" quotePrefix="0" xfId="0"/>
    <xf numFmtId="0" fontId="0" fillId="3" borderId="1" pivotButton="0" quotePrefix="0" xfId="0"/>
    <xf numFmtId="0" fontId="8" fillId="0" borderId="0" applyAlignment="1" pivotButton="0" quotePrefix="0" xfId="0">
      <alignment horizontal="left" vertical="center" indent="1"/>
    </xf>
    <xf numFmtId="0" fontId="0" fillId="6" borderId="1" pivotButton="0" quotePrefix="0" xfId="0"/>
    <xf numFmtId="0" fontId="0" fillId="7" borderId="1" pivotButton="0" quotePrefix="0" xfId="0"/>
    <xf numFmtId="0" fontId="11" fillId="8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ill>
        <patternFill patternType="solid">
          <fgColor rgb="002F0053"/>
          <bgColor rgb="002F0053"/>
        </patternFill>
      </fill>
    </dxf>
    <dxf>
      <fill>
        <patternFill patternType="solid">
          <fgColor rgb="00590599"/>
          <bgColor rgb="00590599"/>
        </patternFill>
      </fill>
    </dxf>
    <dxf>
      <fill>
        <patternFill patternType="solid">
          <fgColor rgb="00E8871A"/>
          <bgColor rgb="00E8871A"/>
        </patternFill>
      </fill>
    </dxf>
    <dxf>
      <fill>
        <patternFill patternType="solid">
          <fgColor rgb="00FFCB00"/>
          <bgColor rgb="00FFCB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1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16" customWidth="1" min="2" max="2"/>
    <col width="10" customWidth="1" min="3" max="3"/>
    <col width="10" customWidth="1" min="4" max="4"/>
    <col width="7" customWidth="1" min="5" max="5"/>
    <col width="4.3" customWidth="1" min="6" max="6"/>
    <col width="4.3" customWidth="1" min="7" max="7"/>
    <col width="4.3" customWidth="1" min="8" max="8"/>
    <col width="4.3" customWidth="1" min="9" max="9"/>
    <col width="4.3" customWidth="1" min="10" max="10"/>
    <col width="4.3" customWidth="1" min="11" max="11"/>
    <col width="4.3" customWidth="1" min="12" max="12"/>
    <col width="4.3" customWidth="1" min="13" max="13"/>
    <col width="4.3" customWidth="1" min="14" max="14"/>
  </cols>
  <sheetData>
    <row r="1" ht="34" customHeight="1">
      <c r="A1" s="1" t="inlineStr">
        <is>
          <t>CARTA GANTT · INGENIO BLOCKS</t>
        </is>
      </c>
    </row>
    <row r="2" ht="22" customHeight="1">
      <c r="A2" s="2" t="inlineStr">
        <is>
          <t>Puesta en marcha del sitio   ·   Entrega: viernes 31 de julio de 2026</t>
        </is>
      </c>
    </row>
    <row r="3" ht="8" customHeight="1"/>
    <row r="4" ht="16" customHeight="1">
      <c r="A4" s="3" t="inlineStr">
        <is>
          <t>Tarea</t>
        </is>
      </c>
      <c r="B4" s="3" t="inlineStr">
        <is>
          <t>Responsable</t>
        </is>
      </c>
      <c r="C4" s="3" t="inlineStr">
        <is>
          <t>Inicio</t>
        </is>
      </c>
      <c r="D4" s="3" t="inlineStr">
        <is>
          <t>Término</t>
        </is>
      </c>
      <c r="E4" s="3" t="inlineStr">
        <is>
          <t>Días</t>
        </is>
      </c>
      <c r="F4" s="4" t="inlineStr">
        <is>
          <t>Ju</t>
        </is>
      </c>
      <c r="G4" s="4" t="inlineStr">
        <is>
          <t>Vi</t>
        </is>
      </c>
      <c r="H4" s="5" t="inlineStr">
        <is>
          <t>Sá</t>
        </is>
      </c>
      <c r="I4" s="5" t="inlineStr">
        <is>
          <t>Do</t>
        </is>
      </c>
      <c r="J4" s="4" t="inlineStr">
        <is>
          <t>Lu</t>
        </is>
      </c>
      <c r="K4" s="4" t="inlineStr">
        <is>
          <t>Ma</t>
        </is>
      </c>
      <c r="L4" s="4" t="inlineStr">
        <is>
          <t>Mi</t>
        </is>
      </c>
      <c r="M4" s="4" t="inlineStr">
        <is>
          <t>Ju</t>
        </is>
      </c>
      <c r="N4" s="4" t="inlineStr">
        <is>
          <t>Vi</t>
        </is>
      </c>
    </row>
    <row r="5" ht="20" customHeight="1">
      <c r="A5" s="6" t="n"/>
      <c r="B5" s="6" t="n"/>
      <c r="C5" s="6" t="n"/>
      <c r="D5" s="6" t="n"/>
      <c r="E5" s="6" t="n"/>
      <c r="F5" s="7" t="n">
        <v>46226</v>
      </c>
      <c r="G5" s="7" t="n">
        <v>46227</v>
      </c>
      <c r="H5" s="7" t="n">
        <v>46228</v>
      </c>
      <c r="I5" s="7" t="n">
        <v>46229</v>
      </c>
      <c r="J5" s="7" t="n">
        <v>46230</v>
      </c>
      <c r="K5" s="7" t="n">
        <v>46231</v>
      </c>
      <c r="L5" s="7" t="n">
        <v>46232</v>
      </c>
      <c r="M5" s="7" t="n">
        <v>46233</v>
      </c>
      <c r="N5" s="7" t="n">
        <v>46234</v>
      </c>
    </row>
    <row r="6" ht="22" customHeight="1">
      <c r="A6" s="8" t="inlineStr">
        <is>
          <t>1 · Dominio y puesta en línea</t>
        </is>
      </c>
      <c r="B6" s="9" t="inlineStr"/>
      <c r="C6" s="10">
        <f>MIN(C7:C8)</f>
        <v/>
      </c>
      <c r="D6" s="10">
        <f>MAX(D7:D8)</f>
        <v/>
      </c>
      <c r="E6" s="11">
        <f>NETWORKDAYS(C6,D6)</f>
        <v/>
      </c>
      <c r="F6" s="6" t="n"/>
      <c r="G6" s="6" t="n"/>
      <c r="H6" s="12" t="n"/>
      <c r="I6" s="12" t="n"/>
      <c r="J6" s="6" t="n"/>
      <c r="K6" s="6" t="n"/>
      <c r="L6" s="6" t="n"/>
      <c r="M6" s="6" t="n"/>
      <c r="N6" s="6" t="n"/>
    </row>
    <row r="7" ht="19" customHeight="1">
      <c r="A7" s="13" t="inlineStr">
        <is>
          <t>Apuntar el dominio ingenioblocks.com al servidor</t>
        </is>
      </c>
      <c r="B7" s="14" t="inlineStr">
        <is>
          <t>Desarrollo</t>
        </is>
      </c>
      <c r="C7" s="15" t="n">
        <v>46226</v>
      </c>
      <c r="D7" s="15" t="n">
        <v>46227</v>
      </c>
      <c r="E7" s="14">
        <f>NETWORKDAYS(C7,D7)</f>
        <v/>
      </c>
      <c r="F7" s="6" t="n"/>
      <c r="G7" s="6" t="n"/>
      <c r="H7" s="12" t="n"/>
      <c r="I7" s="12" t="n"/>
      <c r="J7" s="6" t="n"/>
      <c r="K7" s="6" t="n"/>
      <c r="L7" s="6" t="n"/>
      <c r="M7" s="6" t="n"/>
      <c r="N7" s="6" t="n"/>
    </row>
    <row r="8" ht="19" customHeight="1">
      <c r="A8" s="13" t="inlineStr">
        <is>
          <t>Activar el certificado de seguridad (candado)</t>
        </is>
      </c>
      <c r="B8" s="14" t="inlineStr">
        <is>
          <t>Desarrollo</t>
        </is>
      </c>
      <c r="C8" s="15" t="n">
        <v>46227</v>
      </c>
      <c r="D8" s="15" t="n">
        <v>46227</v>
      </c>
      <c r="E8" s="14">
        <f>NETWORKDAYS(C8,D8)</f>
        <v/>
      </c>
      <c r="F8" s="6" t="n"/>
      <c r="G8" s="6" t="n"/>
      <c r="H8" s="12" t="n"/>
      <c r="I8" s="12" t="n"/>
      <c r="J8" s="6" t="n"/>
      <c r="K8" s="6" t="n"/>
      <c r="L8" s="6" t="n"/>
      <c r="M8" s="6" t="n"/>
      <c r="N8" s="6" t="n"/>
    </row>
    <row r="9" ht="22" customHeight="1">
      <c r="A9" s="8" t="inlineStr">
        <is>
          <t>2 · Contenido del Aula Virtual</t>
        </is>
      </c>
      <c r="B9" s="9" t="inlineStr"/>
      <c r="C9" s="10">
        <f>MIN(C10:C11)</f>
        <v/>
      </c>
      <c r="D9" s="10">
        <f>MAX(D10:D11)</f>
        <v/>
      </c>
      <c r="E9" s="11">
        <f>NETWORKDAYS(C9,D9)</f>
        <v/>
      </c>
      <c r="F9" s="6" t="n"/>
      <c r="G9" s="6" t="n"/>
      <c r="H9" s="12" t="n"/>
      <c r="I9" s="12" t="n"/>
      <c r="J9" s="6" t="n"/>
      <c r="K9" s="6" t="n"/>
      <c r="L9" s="6" t="n"/>
      <c r="M9" s="6" t="n"/>
      <c r="N9" s="6" t="n"/>
    </row>
    <row r="10" ht="19" customHeight="1">
      <c r="A10" s="13" t="inlineStr">
        <is>
          <t>Cargar los modelos con sus videos e instrucciones</t>
        </is>
      </c>
      <c r="B10" s="14" t="inlineStr">
        <is>
          <t>Ingenio Blocks</t>
        </is>
      </c>
      <c r="C10" s="15" t="n">
        <v>46226</v>
      </c>
      <c r="D10" s="15" t="n">
        <v>46231</v>
      </c>
      <c r="E10" s="14">
        <f>NETWORKDAYS(C10,D10)</f>
        <v/>
      </c>
      <c r="F10" s="6" t="n"/>
      <c r="G10" s="6" t="n"/>
      <c r="H10" s="12" t="n"/>
      <c r="I10" s="12" t="n"/>
      <c r="J10" s="6" t="n"/>
      <c r="K10" s="6" t="n"/>
      <c r="L10" s="6" t="n"/>
      <c r="M10" s="6" t="n"/>
      <c r="N10" s="6" t="n"/>
    </row>
    <row r="11" ht="19" customHeight="1">
      <c r="A11" s="13" t="inlineStr">
        <is>
          <t>Cargar los diplomas</t>
        </is>
      </c>
      <c r="B11" s="14" t="inlineStr">
        <is>
          <t>Ingenio Blocks</t>
        </is>
      </c>
      <c r="C11" s="15" t="n">
        <v>46230</v>
      </c>
      <c r="D11" s="15" t="n">
        <v>46231</v>
      </c>
      <c r="E11" s="14">
        <f>NETWORKDAYS(C11,D11)</f>
        <v/>
      </c>
      <c r="F11" s="6" t="n"/>
      <c r="G11" s="6" t="n"/>
      <c r="H11" s="12" t="n"/>
      <c r="I11" s="12" t="n"/>
      <c r="J11" s="6" t="n"/>
      <c r="K11" s="6" t="n"/>
      <c r="L11" s="6" t="n"/>
      <c r="M11" s="6" t="n"/>
      <c r="N11" s="6" t="n"/>
    </row>
    <row r="12" ht="22" customHeight="1">
      <c r="A12" s="8" t="inlineStr">
        <is>
          <t>3 · Textos legales</t>
        </is>
      </c>
      <c r="B12" s="9" t="inlineStr"/>
      <c r="C12" s="10">
        <f>MIN(C13:C14)</f>
        <v/>
      </c>
      <c r="D12" s="10">
        <f>MAX(D13:D14)</f>
        <v/>
      </c>
      <c r="E12" s="11">
        <f>NETWORKDAYS(C12,D12)</f>
        <v/>
      </c>
      <c r="F12" s="6" t="n"/>
      <c r="G12" s="6" t="n"/>
      <c r="H12" s="12" t="n"/>
      <c r="I12" s="12" t="n"/>
      <c r="J12" s="6" t="n"/>
      <c r="K12" s="6" t="n"/>
      <c r="L12" s="6" t="n"/>
      <c r="M12" s="6" t="n"/>
      <c r="N12" s="6" t="n"/>
    </row>
    <row r="13" ht="19" customHeight="1">
      <c r="A13" s="13" t="inlineStr">
        <is>
          <t>Revisar términos, privacidad y derecho a retracto</t>
        </is>
      </c>
      <c r="B13" s="14" t="inlineStr">
        <is>
          <t>Ingenio Blocks</t>
        </is>
      </c>
      <c r="C13" s="15" t="n">
        <v>46226</v>
      </c>
      <c r="D13" s="15" t="n">
        <v>46231</v>
      </c>
      <c r="E13" s="14">
        <f>NETWORKDAYS(C13,D13)</f>
        <v/>
      </c>
      <c r="F13" s="6" t="n"/>
      <c r="G13" s="6" t="n"/>
      <c r="H13" s="12" t="n"/>
      <c r="I13" s="12" t="n"/>
      <c r="J13" s="6" t="n"/>
      <c r="K13" s="6" t="n"/>
      <c r="L13" s="6" t="n"/>
      <c r="M13" s="6" t="n"/>
      <c r="N13" s="6" t="n"/>
    </row>
    <row r="14" ht="19" customHeight="1">
      <c r="A14" s="13" t="inlineStr">
        <is>
          <t>Completar los datos de la empresa</t>
        </is>
      </c>
      <c r="B14" s="14" t="inlineStr">
        <is>
          <t>Ingenio Blocks</t>
        </is>
      </c>
      <c r="C14" s="15" t="n">
        <v>46230</v>
      </c>
      <c r="D14" s="15" t="n">
        <v>46231</v>
      </c>
      <c r="E14" s="14">
        <f>NETWORKDAYS(C14,D14)</f>
        <v/>
      </c>
      <c r="F14" s="6" t="n"/>
      <c r="G14" s="6" t="n"/>
      <c r="H14" s="12" t="n"/>
      <c r="I14" s="12" t="n"/>
      <c r="J14" s="6" t="n"/>
      <c r="K14" s="6" t="n"/>
      <c r="L14" s="6" t="n"/>
      <c r="M14" s="6" t="n"/>
      <c r="N14" s="6" t="n"/>
    </row>
    <row r="15" ht="22" customHeight="1">
      <c r="A15" s="8" t="inlineStr">
        <is>
          <t>4 · Medios de pago</t>
        </is>
      </c>
      <c r="B15" s="9" t="inlineStr"/>
      <c r="C15" s="10">
        <f>MIN(C16:C17)</f>
        <v/>
      </c>
      <c r="D15" s="10">
        <f>MAX(D16:D17)</f>
        <v/>
      </c>
      <c r="E15" s="11">
        <f>NETWORKDAYS(C15,D15)</f>
        <v/>
      </c>
      <c r="F15" s="6" t="n"/>
      <c r="G15" s="6" t="n"/>
      <c r="H15" s="12" t="n"/>
      <c r="I15" s="12" t="n"/>
      <c r="J15" s="6" t="n"/>
      <c r="K15" s="6" t="n"/>
      <c r="L15" s="6" t="n"/>
      <c r="M15" s="6" t="n"/>
      <c r="N15" s="6" t="n"/>
    </row>
    <row r="16" ht="19" customHeight="1">
      <c r="A16" s="13" t="inlineStr">
        <is>
          <t>Obtener credenciales de Transbank y MercadoPago</t>
        </is>
      </c>
      <c r="B16" s="14" t="inlineStr">
        <is>
          <t>Ingenio Blocks</t>
        </is>
      </c>
      <c r="C16" s="15" t="n">
        <v>46226</v>
      </c>
      <c r="D16" s="15" t="n">
        <v>46232</v>
      </c>
      <c r="E16" s="14">
        <f>NETWORKDAYS(C16,D16)</f>
        <v/>
      </c>
      <c r="F16" s="6" t="n"/>
      <c r="G16" s="6" t="n"/>
      <c r="H16" s="12" t="n"/>
      <c r="I16" s="12" t="n"/>
      <c r="J16" s="6" t="n"/>
      <c r="K16" s="6" t="n"/>
      <c r="L16" s="6" t="n"/>
      <c r="M16" s="6" t="n"/>
      <c r="N16" s="6" t="n"/>
    </row>
    <row r="17" ht="19" customHeight="1">
      <c r="A17" s="13" t="inlineStr">
        <is>
          <t>Conectar los pagos reales al sitio</t>
        </is>
      </c>
      <c r="B17" s="14" t="inlineStr">
        <is>
          <t>Desarrollo</t>
        </is>
      </c>
      <c r="C17" s="15" t="n">
        <v>46232</v>
      </c>
      <c r="D17" s="15" t="n">
        <v>46233</v>
      </c>
      <c r="E17" s="14">
        <f>NETWORKDAYS(C17,D17)</f>
        <v/>
      </c>
      <c r="F17" s="6" t="n"/>
      <c r="G17" s="6" t="n"/>
      <c r="H17" s="12" t="n"/>
      <c r="I17" s="12" t="n"/>
      <c r="J17" s="6" t="n"/>
      <c r="K17" s="6" t="n"/>
      <c r="L17" s="6" t="n"/>
      <c r="M17" s="6" t="n"/>
      <c r="N17" s="6" t="n"/>
    </row>
    <row r="18" ht="22" customHeight="1">
      <c r="A18" s="8" t="inlineStr">
        <is>
          <t>5 · Pruebas y entrega</t>
        </is>
      </c>
      <c r="B18" s="9" t="inlineStr"/>
      <c r="C18" s="10">
        <f>MIN(C19:C22)</f>
        <v/>
      </c>
      <c r="D18" s="10">
        <f>MAX(D19:D22)</f>
        <v/>
      </c>
      <c r="E18" s="11">
        <f>NETWORKDAYS(C18,D18)</f>
        <v/>
      </c>
      <c r="F18" s="6" t="n"/>
      <c r="G18" s="6" t="n"/>
      <c r="H18" s="12" t="n"/>
      <c r="I18" s="12" t="n"/>
      <c r="J18" s="6" t="n"/>
      <c r="K18" s="6" t="n"/>
      <c r="L18" s="6" t="n"/>
      <c r="M18" s="6" t="n"/>
      <c r="N18" s="6" t="n"/>
    </row>
    <row r="19" ht="19" customHeight="1">
      <c r="A19" s="13" t="inlineStr">
        <is>
          <t>Compra de prueba de principio a fin</t>
        </is>
      </c>
      <c r="B19" s="14" t="inlineStr">
        <is>
          <t>Desarrollo</t>
        </is>
      </c>
      <c r="C19" s="15" t="n">
        <v>46233</v>
      </c>
      <c r="D19" s="15" t="n">
        <v>46233</v>
      </c>
      <c r="E19" s="14">
        <f>NETWORKDAYS(C19,D19)</f>
        <v/>
      </c>
      <c r="F19" s="6" t="n"/>
      <c r="G19" s="6" t="n"/>
      <c r="H19" s="12" t="n"/>
      <c r="I19" s="12" t="n"/>
      <c r="J19" s="6" t="n"/>
      <c r="K19" s="6" t="n"/>
      <c r="L19" s="6" t="n"/>
      <c r="M19" s="6" t="n"/>
      <c r="N19" s="6" t="n"/>
    </row>
    <row r="20" ht="19" customHeight="1">
      <c r="A20" s="13" t="inlineStr">
        <is>
          <t>Revisión final en celular y computador</t>
        </is>
      </c>
      <c r="B20" s="14" t="inlineStr">
        <is>
          <t>Ambos</t>
        </is>
      </c>
      <c r="C20" s="15" t="n">
        <v>46233</v>
      </c>
      <c r="D20" s="15" t="n">
        <v>46234</v>
      </c>
      <c r="E20" s="14">
        <f>NETWORKDAYS(C20,D20)</f>
        <v/>
      </c>
      <c r="F20" s="6" t="n"/>
      <c r="G20" s="6" t="n"/>
      <c r="H20" s="12" t="n"/>
      <c r="I20" s="12" t="n"/>
      <c r="J20" s="6" t="n"/>
      <c r="K20" s="6" t="n"/>
      <c r="L20" s="6" t="n"/>
      <c r="M20" s="6" t="n"/>
      <c r="N20" s="6" t="n"/>
    </row>
    <row r="21" ht="19" customHeight="1">
      <c r="A21" s="13" t="inlineStr">
        <is>
          <t>Capacitación del panel de administración</t>
        </is>
      </c>
      <c r="B21" s="14" t="inlineStr">
        <is>
          <t>Desarrollo</t>
        </is>
      </c>
      <c r="C21" s="15" t="n">
        <v>46234</v>
      </c>
      <c r="D21" s="15" t="n">
        <v>46234</v>
      </c>
      <c r="E21" s="14">
        <f>NETWORKDAYS(C21,D21)</f>
        <v/>
      </c>
      <c r="F21" s="6" t="n"/>
      <c r="G21" s="6" t="n"/>
      <c r="H21" s="12" t="n"/>
      <c r="I21" s="12" t="n"/>
      <c r="J21" s="6" t="n"/>
      <c r="K21" s="6" t="n"/>
      <c r="L21" s="6" t="n"/>
      <c r="M21" s="6" t="n"/>
      <c r="N21" s="6" t="n"/>
    </row>
    <row r="22" ht="19" customHeight="1">
      <c r="A22" s="16" t="inlineStr">
        <is>
          <t>ENTREGA DEL PROYECTO</t>
        </is>
      </c>
      <c r="B22" s="14" t="inlineStr">
        <is>
          <t>—</t>
        </is>
      </c>
      <c r="C22" s="15" t="n">
        <v>46234</v>
      </c>
      <c r="D22" s="15" t="n">
        <v>46234</v>
      </c>
      <c r="E22" s="14">
        <f>NETWORKDAYS(C22,D22)</f>
        <v/>
      </c>
      <c r="F22" s="6" t="n"/>
      <c r="G22" s="6" t="n"/>
      <c r="H22" s="12" t="n"/>
      <c r="I22" s="12" t="n"/>
      <c r="J22" s="6" t="n"/>
      <c r="K22" s="6" t="n"/>
      <c r="L22" s="6" t="n"/>
      <c r="M22" s="6" t="n"/>
      <c r="N22" s="6" t="n"/>
    </row>
    <row r="24">
      <c r="A24" s="17" t="inlineStr">
        <is>
          <t>CÓMO LEER ESTA CARTA</t>
        </is>
      </c>
    </row>
    <row r="25">
      <c r="A25" s="18" t="n"/>
      <c r="B25" s="19" t="inlineStr">
        <is>
          <t>Trabajo planificado</t>
        </is>
      </c>
    </row>
    <row r="26">
      <c r="A26" s="20" t="n"/>
      <c r="B26" s="19" t="inlineStr">
        <is>
          <t>Depende de un tercero — es lo que más riesgo tiene de atrasarse</t>
        </is>
      </c>
    </row>
    <row r="27">
      <c r="A27" s="21" t="n"/>
      <c r="B27" s="19" t="inlineStr">
        <is>
          <t>Entrega</t>
        </is>
      </c>
    </row>
    <row r="28">
      <c r="A28" s="12" t="n"/>
      <c r="B28" s="19" t="inlineStr">
        <is>
          <t>Fin de semana</t>
        </is>
      </c>
    </row>
    <row r="30" ht="16" customHeight="1">
      <c r="A30" s="22" t="inlineStr">
        <is>
          <t>Nota: las credenciales de Transbank y MercadoPago las aprueba cada empresa y el plazo no depende de nosotros. Es el único punto que podría correr la fecha de entrega; conviene solicitarlas cuanto antes.</t>
        </is>
      </c>
    </row>
    <row r="31" ht="16" customHeight="1"/>
  </sheetData>
  <mergeCells count="12">
    <mergeCell ref="A30:N31"/>
    <mergeCell ref="B4:B5"/>
    <mergeCell ref="B28:N28"/>
    <mergeCell ref="B27:N27"/>
    <mergeCell ref="C4:C5"/>
    <mergeCell ref="A4:A5"/>
    <mergeCell ref="D4:D5"/>
    <mergeCell ref="A2:N2"/>
    <mergeCell ref="E4:E5"/>
    <mergeCell ref="B26:N26"/>
    <mergeCell ref="B25:N25"/>
    <mergeCell ref="A1:N1"/>
  </mergeCells>
  <conditionalFormatting sqref="F6:N6 F9:N9 F12:N12 F15:N15 F18:N18">
    <cfRule type="expression" priority="1" dxfId="0" stopIfTrue="1">
      <formula>AND($C6&lt;&gt;"",F$5&gt;=$C6,F$5&lt;=$D6)</formula>
    </cfRule>
  </conditionalFormatting>
  <conditionalFormatting sqref="F7:N7 F8:N8 F10:N10 F11:N11 F14:N14 F17:N17 F19:N19 F20:N20 F21:N21">
    <cfRule type="expression" priority="2" dxfId="1" stopIfTrue="1">
      <formula>AND($C7&lt;&gt;"",F$5&gt;=$C7,F$5&lt;=$D7)</formula>
    </cfRule>
  </conditionalFormatting>
  <conditionalFormatting sqref="F13:N13 F16:N16">
    <cfRule type="expression" priority="3" dxfId="2" stopIfTrue="1">
      <formula>AND($C13&lt;&gt;"",F$5&gt;=$C13,F$5&lt;=$D13)</formula>
    </cfRule>
  </conditionalFormatting>
  <conditionalFormatting sqref="F22:N22">
    <cfRule type="expression" priority="4" dxfId="3" stopIfTrue="1">
      <formula>AND($C22&lt;&gt;"",F$5&gt;=$C22,F$5&lt;=$D22)</formula>
    </cfRule>
  </conditionalFormatting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2026-07-23T12:07:26Z</dcterms:created>
  <dcterms:modified xsi:type="dcterms:W3CDTF">2026-07-23T12:07:26Z</dcterms:modified>
</cp:coreProperties>
</file>