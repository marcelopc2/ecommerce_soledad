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/m"/>
  </numFmts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0"/>
    </font>
    <font>
      <name val="Calibri"/>
      <b val="1"/>
      <sz val="10"/>
    </font>
    <font>
      <name val="Calibri"/>
      <b val="1"/>
      <sz val="8"/>
    </font>
    <font>
      <name val="Calibri"/>
      <i val="1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indent="1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0" borderId="0" pivotButton="0" quotePrefix="0" xfId="0"/>
    <xf numFmtId="0" fontId="0" fillId="4" borderId="1" pivotButton="0" quotePrefix="0" xfId="0"/>
    <xf numFmtId="0" fontId="2" fillId="0" borderId="0" applyAlignment="1" pivotButton="0" quotePrefix="0" xfId="0">
      <alignment inden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8FAADC"/>
          <bgColor rgb="008FAADC"/>
        </patternFill>
      </fill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4472C4"/>
          <bgColor rgb="004472C4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9" customWidth="1" min="3" max="3"/>
    <col width="7" customWidth="1" min="4" max="4"/>
    <col width="8" customWidth="1" min="5" max="5"/>
    <col width="6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</cols>
  <sheetData>
    <row r="1">
      <c r="A1" s="1" t="inlineStr">
        <is>
          <t>Carta Gantt - Ingenio Blocks</t>
        </is>
      </c>
    </row>
    <row r="2">
      <c r="A2" s="2" t="inlineStr">
        <is>
          <t>Inicio: 16 de julio de 2026   |   Entrega: viernes 7 de agosto de 2026</t>
        </is>
      </c>
    </row>
    <row r="4">
      <c r="A4" s="3" t="inlineStr">
        <is>
          <t>Tarea</t>
        </is>
      </c>
      <c r="B4" s="3" t="inlineStr">
        <is>
          <t>Responsable</t>
        </is>
      </c>
      <c r="C4" s="3" t="inlineStr">
        <is>
          <t>Estado</t>
        </is>
      </c>
      <c r="D4" s="3" t="inlineStr">
        <is>
          <t>Inicio</t>
        </is>
      </c>
      <c r="E4" s="3" t="inlineStr">
        <is>
          <t>Término</t>
        </is>
      </c>
      <c r="F4" s="3" t="inlineStr">
        <is>
          <t>Días</t>
        </is>
      </c>
      <c r="G4" s="4" t="n">
        <v>46219</v>
      </c>
      <c r="H4" s="4" t="n">
        <v>46220</v>
      </c>
      <c r="I4" s="4" t="n">
        <v>46221</v>
      </c>
      <c r="J4" s="4" t="n">
        <v>46222</v>
      </c>
      <c r="K4" s="4" t="n">
        <v>46223</v>
      </c>
      <c r="L4" s="4" t="n">
        <v>46224</v>
      </c>
      <c r="M4" s="4" t="n">
        <v>46225</v>
      </c>
      <c r="N4" s="4" t="n">
        <v>46226</v>
      </c>
      <c r="O4" s="4" t="n">
        <v>46227</v>
      </c>
      <c r="P4" s="4" t="n">
        <v>46228</v>
      </c>
      <c r="Q4" s="4" t="n">
        <v>46229</v>
      </c>
      <c r="R4" s="4" t="n">
        <v>46230</v>
      </c>
      <c r="S4" s="4" t="n">
        <v>46231</v>
      </c>
      <c r="T4" s="4" t="n">
        <v>46232</v>
      </c>
      <c r="U4" s="4" t="n">
        <v>46233</v>
      </c>
      <c r="V4" s="4" t="n">
        <v>46234</v>
      </c>
      <c r="W4" s="4" t="n">
        <v>46235</v>
      </c>
      <c r="X4" s="4" t="n">
        <v>46236</v>
      </c>
      <c r="Y4" s="4" t="n">
        <v>46237</v>
      </c>
      <c r="Z4" s="4" t="n">
        <v>46238</v>
      </c>
      <c r="AA4" s="4" t="n">
        <v>46239</v>
      </c>
      <c r="AB4" s="4" t="n">
        <v>46240</v>
      </c>
      <c r="AC4" s="4" t="n">
        <v>46241</v>
      </c>
    </row>
    <row r="5">
      <c r="A5" s="5" t="inlineStr">
        <is>
          <t>1. Diseño del sitio</t>
        </is>
      </c>
      <c r="B5" s="5" t="n"/>
      <c r="C5" s="6" t="n"/>
      <c r="D5" s="7">
        <f>MIN(D6:D7)</f>
        <v/>
      </c>
      <c r="E5" s="7">
        <f>MAX(E6:E7)</f>
        <v/>
      </c>
      <c r="F5" s="6">
        <f>NETWORKDAYS(D5,E5)</f>
        <v/>
      </c>
      <c r="G5" s="8" t="n"/>
      <c r="H5" s="8" t="n"/>
      <c r="I5" s="9" t="n"/>
      <c r="J5" s="9" t="n"/>
      <c r="K5" s="8" t="n"/>
      <c r="L5" s="8" t="n"/>
      <c r="M5" s="8" t="n"/>
      <c r="N5" s="8" t="n"/>
      <c r="O5" s="8" t="n"/>
      <c r="P5" s="9" t="n"/>
      <c r="Q5" s="9" t="n"/>
      <c r="R5" s="8" t="n"/>
      <c r="S5" s="8" t="n"/>
      <c r="T5" s="8" t="n"/>
      <c r="U5" s="8" t="n"/>
      <c r="V5" s="8" t="n"/>
      <c r="W5" s="9" t="n"/>
      <c r="X5" s="9" t="n"/>
      <c r="Y5" s="8" t="n"/>
      <c r="Z5" s="8" t="n"/>
      <c r="AA5" s="8" t="n"/>
      <c r="AB5" s="8" t="n"/>
      <c r="AC5" s="8" t="n"/>
    </row>
    <row r="6">
      <c r="A6" s="10" t="inlineStr">
        <is>
          <t>Portada y diseño general</t>
        </is>
      </c>
      <c r="B6" s="11" t="inlineStr">
        <is>
          <t>Desarrollo</t>
        </is>
      </c>
      <c r="C6" s="11" t="inlineStr">
        <is>
          <t>Listo</t>
        </is>
      </c>
      <c r="D6" s="12" t="n">
        <v>46219</v>
      </c>
      <c r="E6" s="12" t="n">
        <v>46224</v>
      </c>
      <c r="F6" s="11">
        <f>NETWORKDAYS(D6,E6)</f>
        <v/>
      </c>
      <c r="G6" s="8" t="n"/>
      <c r="H6" s="8" t="n"/>
      <c r="I6" s="9" t="n"/>
      <c r="J6" s="9" t="n"/>
      <c r="K6" s="8" t="n"/>
      <c r="L6" s="8" t="n"/>
      <c r="M6" s="8" t="n"/>
      <c r="N6" s="8" t="n"/>
      <c r="O6" s="8" t="n"/>
      <c r="P6" s="9" t="n"/>
      <c r="Q6" s="9" t="n"/>
      <c r="R6" s="8" t="n"/>
      <c r="S6" s="8" t="n"/>
      <c r="T6" s="8" t="n"/>
      <c r="U6" s="8" t="n"/>
      <c r="V6" s="8" t="n"/>
      <c r="W6" s="9" t="n"/>
      <c r="X6" s="9" t="n"/>
      <c r="Y6" s="8" t="n"/>
      <c r="Z6" s="8" t="n"/>
      <c r="AA6" s="8" t="n"/>
      <c r="AB6" s="8" t="n"/>
      <c r="AC6" s="8" t="n"/>
    </row>
    <row r="7">
      <c r="A7" s="10" t="inlineStr">
        <is>
          <t>Página de compra y carrito</t>
        </is>
      </c>
      <c r="B7" s="11" t="inlineStr">
        <is>
          <t>Desarrollo</t>
        </is>
      </c>
      <c r="C7" s="11" t="inlineStr">
        <is>
          <t>Listo</t>
        </is>
      </c>
      <c r="D7" s="12" t="n">
        <v>46223</v>
      </c>
      <c r="E7" s="12" t="n">
        <v>46225</v>
      </c>
      <c r="F7" s="11">
        <f>NETWORKDAYS(D7,E7)</f>
        <v/>
      </c>
      <c r="G7" s="8" t="n"/>
      <c r="H7" s="8" t="n"/>
      <c r="I7" s="9" t="n"/>
      <c r="J7" s="9" t="n"/>
      <c r="K7" s="8" t="n"/>
      <c r="L7" s="8" t="n"/>
      <c r="M7" s="8" t="n"/>
      <c r="N7" s="8" t="n"/>
      <c r="O7" s="8" t="n"/>
      <c r="P7" s="9" t="n"/>
      <c r="Q7" s="9" t="n"/>
      <c r="R7" s="8" t="n"/>
      <c r="S7" s="8" t="n"/>
      <c r="T7" s="8" t="n"/>
      <c r="U7" s="8" t="n"/>
      <c r="V7" s="8" t="n"/>
      <c r="W7" s="9" t="n"/>
      <c r="X7" s="9" t="n"/>
      <c r="Y7" s="8" t="n"/>
      <c r="Z7" s="8" t="n"/>
      <c r="AA7" s="8" t="n"/>
      <c r="AB7" s="8" t="n"/>
      <c r="AC7" s="8" t="n"/>
    </row>
    <row r="8">
      <c r="A8" s="5" t="inlineStr">
        <is>
          <t>2. Aula Virtual y panel</t>
        </is>
      </c>
      <c r="B8" s="5" t="n"/>
      <c r="C8" s="6" t="n"/>
      <c r="D8" s="7">
        <f>MIN(D9:D10)</f>
        <v/>
      </c>
      <c r="E8" s="7">
        <f>MAX(E9:E10)</f>
        <v/>
      </c>
      <c r="F8" s="6">
        <f>NETWORKDAYS(D8,E8)</f>
        <v/>
      </c>
      <c r="G8" s="8" t="n"/>
      <c r="H8" s="8" t="n"/>
      <c r="I8" s="9" t="n"/>
      <c r="J8" s="9" t="n"/>
      <c r="K8" s="8" t="n"/>
      <c r="L8" s="8" t="n"/>
      <c r="M8" s="8" t="n"/>
      <c r="N8" s="8" t="n"/>
      <c r="O8" s="8" t="n"/>
      <c r="P8" s="9" t="n"/>
      <c r="Q8" s="9" t="n"/>
      <c r="R8" s="8" t="n"/>
      <c r="S8" s="8" t="n"/>
      <c r="T8" s="8" t="n"/>
      <c r="U8" s="8" t="n"/>
      <c r="V8" s="8" t="n"/>
      <c r="W8" s="9" t="n"/>
      <c r="X8" s="9" t="n"/>
      <c r="Y8" s="8" t="n"/>
      <c r="Z8" s="8" t="n"/>
      <c r="AA8" s="8" t="n"/>
      <c r="AB8" s="8" t="n"/>
      <c r="AC8" s="8" t="n"/>
    </row>
    <row r="9">
      <c r="A9" s="10" t="inlineStr">
        <is>
          <t>Cursos, entrega semanal y diplomas</t>
        </is>
      </c>
      <c r="B9" s="11" t="inlineStr">
        <is>
          <t>Desarrollo</t>
        </is>
      </c>
      <c r="C9" s="11" t="inlineStr">
        <is>
          <t>Listo</t>
        </is>
      </c>
      <c r="D9" s="12" t="n">
        <v>46220</v>
      </c>
      <c r="E9" s="12" t="n">
        <v>46225</v>
      </c>
      <c r="F9" s="11">
        <f>NETWORKDAYS(D9,E9)</f>
        <v/>
      </c>
      <c r="G9" s="8" t="n"/>
      <c r="H9" s="8" t="n"/>
      <c r="I9" s="9" t="n"/>
      <c r="J9" s="9" t="n"/>
      <c r="K9" s="8" t="n"/>
      <c r="L9" s="8" t="n"/>
      <c r="M9" s="8" t="n"/>
      <c r="N9" s="8" t="n"/>
      <c r="O9" s="8" t="n"/>
      <c r="P9" s="9" t="n"/>
      <c r="Q9" s="9" t="n"/>
      <c r="R9" s="8" t="n"/>
      <c r="S9" s="8" t="n"/>
      <c r="T9" s="8" t="n"/>
      <c r="U9" s="8" t="n"/>
      <c r="V9" s="8" t="n"/>
      <c r="W9" s="9" t="n"/>
      <c r="X9" s="9" t="n"/>
      <c r="Y9" s="8" t="n"/>
      <c r="Z9" s="8" t="n"/>
      <c r="AA9" s="8" t="n"/>
      <c r="AB9" s="8" t="n"/>
      <c r="AC9" s="8" t="n"/>
    </row>
    <row r="10">
      <c r="A10" s="10" t="inlineStr">
        <is>
          <t>Panel de administración para la clienta</t>
        </is>
      </c>
      <c r="B10" s="11" t="inlineStr">
        <is>
          <t>Desarrollo</t>
        </is>
      </c>
      <c r="C10" s="11" t="inlineStr">
        <is>
          <t>Listo</t>
        </is>
      </c>
      <c r="D10" s="12" t="n">
        <v>46223</v>
      </c>
      <c r="E10" s="12" t="n">
        <v>46226</v>
      </c>
      <c r="F10" s="11">
        <f>NETWORKDAYS(D10,E10)</f>
        <v/>
      </c>
      <c r="G10" s="8" t="n"/>
      <c r="H10" s="8" t="n"/>
      <c r="I10" s="9" t="n"/>
      <c r="J10" s="9" t="n"/>
      <c r="K10" s="8" t="n"/>
      <c r="L10" s="8" t="n"/>
      <c r="M10" s="8" t="n"/>
      <c r="N10" s="8" t="n"/>
      <c r="O10" s="8" t="n"/>
      <c r="P10" s="9" t="n"/>
      <c r="Q10" s="9" t="n"/>
      <c r="R10" s="8" t="n"/>
      <c r="S10" s="8" t="n"/>
      <c r="T10" s="8" t="n"/>
      <c r="U10" s="8" t="n"/>
      <c r="V10" s="8" t="n"/>
      <c r="W10" s="9" t="n"/>
      <c r="X10" s="9" t="n"/>
      <c r="Y10" s="8" t="n"/>
      <c r="Z10" s="8" t="n"/>
      <c r="AA10" s="8" t="n"/>
      <c r="AB10" s="8" t="n"/>
      <c r="AC10" s="8" t="n"/>
    </row>
    <row r="11">
      <c r="A11" s="5" t="inlineStr">
        <is>
          <t>3. Correos y seguridad</t>
        </is>
      </c>
      <c r="B11" s="5" t="n"/>
      <c r="C11" s="6" t="n"/>
      <c r="D11" s="7">
        <f>MIN(D12:D13)</f>
        <v/>
      </c>
      <c r="E11" s="7">
        <f>MAX(E12:E13)</f>
        <v/>
      </c>
      <c r="F11" s="6">
        <f>NETWORKDAYS(D11,E11)</f>
        <v/>
      </c>
      <c r="G11" s="8" t="n"/>
      <c r="H11" s="8" t="n"/>
      <c r="I11" s="9" t="n"/>
      <c r="J11" s="9" t="n"/>
      <c r="K11" s="8" t="n"/>
      <c r="L11" s="8" t="n"/>
      <c r="M11" s="8" t="n"/>
      <c r="N11" s="8" t="n"/>
      <c r="O11" s="8" t="n"/>
      <c r="P11" s="9" t="n"/>
      <c r="Q11" s="9" t="n"/>
      <c r="R11" s="8" t="n"/>
      <c r="S11" s="8" t="n"/>
      <c r="T11" s="8" t="n"/>
      <c r="U11" s="8" t="n"/>
      <c r="V11" s="8" t="n"/>
      <c r="W11" s="9" t="n"/>
      <c r="X11" s="9" t="n"/>
      <c r="Y11" s="8" t="n"/>
      <c r="Z11" s="8" t="n"/>
      <c r="AA11" s="8" t="n"/>
      <c r="AB11" s="8" t="n"/>
      <c r="AC11" s="8" t="n"/>
    </row>
    <row r="12">
      <c r="A12" s="10" t="inlineStr">
        <is>
          <t>Correos automáticos (compra, clave, avisos)</t>
        </is>
      </c>
      <c r="B12" s="11" t="inlineStr">
        <is>
          <t>Desarrollo</t>
        </is>
      </c>
      <c r="C12" s="11" t="inlineStr">
        <is>
          <t>Listo</t>
        </is>
      </c>
      <c r="D12" s="12" t="n">
        <v>46224</v>
      </c>
      <c r="E12" s="12" t="n">
        <v>46226</v>
      </c>
      <c r="F12" s="11">
        <f>NETWORKDAYS(D12,E12)</f>
        <v/>
      </c>
      <c r="G12" s="8" t="n"/>
      <c r="H12" s="8" t="n"/>
      <c r="I12" s="9" t="n"/>
      <c r="J12" s="9" t="n"/>
      <c r="K12" s="8" t="n"/>
      <c r="L12" s="8" t="n"/>
      <c r="M12" s="8" t="n"/>
      <c r="N12" s="8" t="n"/>
      <c r="O12" s="8" t="n"/>
      <c r="P12" s="9" t="n"/>
      <c r="Q12" s="9" t="n"/>
      <c r="R12" s="8" t="n"/>
      <c r="S12" s="8" t="n"/>
      <c r="T12" s="8" t="n"/>
      <c r="U12" s="8" t="n"/>
      <c r="V12" s="8" t="n"/>
      <c r="W12" s="9" t="n"/>
      <c r="X12" s="9" t="n"/>
      <c r="Y12" s="8" t="n"/>
      <c r="Z12" s="8" t="n"/>
      <c r="AA12" s="8" t="n"/>
      <c r="AB12" s="8" t="n"/>
      <c r="AC12" s="8" t="n"/>
    </row>
    <row r="13">
      <c r="A13" s="10" t="inlineStr">
        <is>
          <t>Revisión de seguridad del sitio</t>
        </is>
      </c>
      <c r="B13" s="11" t="inlineStr">
        <is>
          <t>Desarrollo</t>
        </is>
      </c>
      <c r="C13" s="11" t="inlineStr">
        <is>
          <t>En curso</t>
        </is>
      </c>
      <c r="D13" s="12" t="n">
        <v>46225</v>
      </c>
      <c r="E13" s="12" t="n">
        <v>46230</v>
      </c>
      <c r="F13" s="11">
        <f>NETWORKDAYS(D13,E13)</f>
        <v/>
      </c>
      <c r="G13" s="8" t="n"/>
      <c r="H13" s="8" t="n"/>
      <c r="I13" s="9" t="n"/>
      <c r="J13" s="9" t="n"/>
      <c r="K13" s="8" t="n"/>
      <c r="L13" s="8" t="n"/>
      <c r="M13" s="8" t="n"/>
      <c r="N13" s="8" t="n"/>
      <c r="O13" s="8" t="n"/>
      <c r="P13" s="9" t="n"/>
      <c r="Q13" s="9" t="n"/>
      <c r="R13" s="8" t="n"/>
      <c r="S13" s="8" t="n"/>
      <c r="T13" s="8" t="n"/>
      <c r="U13" s="8" t="n"/>
      <c r="V13" s="8" t="n"/>
      <c r="W13" s="9" t="n"/>
      <c r="X13" s="9" t="n"/>
      <c r="Y13" s="8" t="n"/>
      <c r="Z13" s="8" t="n"/>
      <c r="AA13" s="8" t="n"/>
      <c r="AB13" s="8" t="n"/>
      <c r="AC13" s="8" t="n"/>
    </row>
    <row r="14">
      <c r="A14" s="5" t="inlineStr">
        <is>
          <t>4. Dominio y contenido</t>
        </is>
      </c>
      <c r="B14" s="5" t="n"/>
      <c r="C14" s="6" t="n"/>
      <c r="D14" s="7">
        <f>MIN(D15:D17)</f>
        <v/>
      </c>
      <c r="E14" s="7">
        <f>MAX(E15:E17)</f>
        <v/>
      </c>
      <c r="F14" s="6">
        <f>NETWORKDAYS(D14,E14)</f>
        <v/>
      </c>
      <c r="G14" s="8" t="n"/>
      <c r="H14" s="8" t="n"/>
      <c r="I14" s="9" t="n"/>
      <c r="J14" s="9" t="n"/>
      <c r="K14" s="8" t="n"/>
      <c r="L14" s="8" t="n"/>
      <c r="M14" s="8" t="n"/>
      <c r="N14" s="8" t="n"/>
      <c r="O14" s="8" t="n"/>
      <c r="P14" s="9" t="n"/>
      <c r="Q14" s="9" t="n"/>
      <c r="R14" s="8" t="n"/>
      <c r="S14" s="8" t="n"/>
      <c r="T14" s="8" t="n"/>
      <c r="U14" s="8" t="n"/>
      <c r="V14" s="8" t="n"/>
      <c r="W14" s="9" t="n"/>
      <c r="X14" s="9" t="n"/>
      <c r="Y14" s="8" t="n"/>
      <c r="Z14" s="8" t="n"/>
      <c r="AA14" s="8" t="n"/>
      <c r="AB14" s="8" t="n"/>
      <c r="AC14" s="8" t="n"/>
    </row>
    <row r="15">
      <c r="A15" s="10" t="inlineStr">
        <is>
          <t>Apuntar el dominio y activar el candado</t>
        </is>
      </c>
      <c r="B15" s="11" t="inlineStr">
        <is>
          <t>Desarrollo</t>
        </is>
      </c>
      <c r="C15" s="11" t="inlineStr">
        <is>
          <t>Pendiente</t>
        </is>
      </c>
      <c r="D15" s="12" t="n">
        <v>46230</v>
      </c>
      <c r="E15" s="12" t="n">
        <v>46231</v>
      </c>
      <c r="F15" s="11">
        <f>NETWORKDAYS(D15,E15)</f>
        <v/>
      </c>
      <c r="G15" s="8" t="n"/>
      <c r="H15" s="8" t="n"/>
      <c r="I15" s="9" t="n"/>
      <c r="J15" s="9" t="n"/>
      <c r="K15" s="8" t="n"/>
      <c r="L15" s="8" t="n"/>
      <c r="M15" s="8" t="n"/>
      <c r="N15" s="8" t="n"/>
      <c r="O15" s="8" t="n"/>
      <c r="P15" s="9" t="n"/>
      <c r="Q15" s="9" t="n"/>
      <c r="R15" s="8" t="n"/>
      <c r="S15" s="8" t="n"/>
      <c r="T15" s="8" t="n"/>
      <c r="U15" s="8" t="n"/>
      <c r="V15" s="8" t="n"/>
      <c r="W15" s="9" t="n"/>
      <c r="X15" s="9" t="n"/>
      <c r="Y15" s="8" t="n"/>
      <c r="Z15" s="8" t="n"/>
      <c r="AA15" s="8" t="n"/>
      <c r="AB15" s="8" t="n"/>
      <c r="AC15" s="8" t="n"/>
    </row>
    <row r="16">
      <c r="A16" s="10" t="inlineStr">
        <is>
          <t>Cargar los modelos, videos y diplomas</t>
        </is>
      </c>
      <c r="B16" s="11" t="inlineStr">
        <is>
          <t>Ingenio Blocks</t>
        </is>
      </c>
      <c r="C16" s="11" t="inlineStr">
        <is>
          <t>Pendiente</t>
        </is>
      </c>
      <c r="D16" s="12" t="n">
        <v>46230</v>
      </c>
      <c r="E16" s="12" t="n">
        <v>46238</v>
      </c>
      <c r="F16" s="11">
        <f>NETWORKDAYS(D16,E16)</f>
        <v/>
      </c>
      <c r="G16" s="8" t="n"/>
      <c r="H16" s="8" t="n"/>
      <c r="I16" s="9" t="n"/>
      <c r="J16" s="9" t="n"/>
      <c r="K16" s="8" t="n"/>
      <c r="L16" s="8" t="n"/>
      <c r="M16" s="8" t="n"/>
      <c r="N16" s="8" t="n"/>
      <c r="O16" s="8" t="n"/>
      <c r="P16" s="9" t="n"/>
      <c r="Q16" s="9" t="n"/>
      <c r="R16" s="8" t="n"/>
      <c r="S16" s="8" t="n"/>
      <c r="T16" s="8" t="n"/>
      <c r="U16" s="8" t="n"/>
      <c r="V16" s="8" t="n"/>
      <c r="W16" s="9" t="n"/>
      <c r="X16" s="9" t="n"/>
      <c r="Y16" s="8" t="n"/>
      <c r="Z16" s="8" t="n"/>
      <c r="AA16" s="8" t="n"/>
      <c r="AB16" s="8" t="n"/>
      <c r="AC16" s="8" t="n"/>
    </row>
    <row r="17">
      <c r="A17" s="10" t="inlineStr">
        <is>
          <t>Revisar los textos legales</t>
        </is>
      </c>
      <c r="B17" s="11" t="inlineStr">
        <is>
          <t>Ingenio Blocks</t>
        </is>
      </c>
      <c r="C17" s="11" t="inlineStr">
        <is>
          <t>Pendiente</t>
        </is>
      </c>
      <c r="D17" s="12" t="n">
        <v>46230</v>
      </c>
      <c r="E17" s="12" t="n">
        <v>46238</v>
      </c>
      <c r="F17" s="11">
        <f>NETWORKDAYS(D17,E17)</f>
        <v/>
      </c>
      <c r="G17" s="8" t="n"/>
      <c r="H17" s="8" t="n"/>
      <c r="I17" s="9" t="n"/>
      <c r="J17" s="9" t="n"/>
      <c r="K17" s="8" t="n"/>
      <c r="L17" s="8" t="n"/>
      <c r="M17" s="8" t="n"/>
      <c r="N17" s="8" t="n"/>
      <c r="O17" s="8" t="n"/>
      <c r="P17" s="9" t="n"/>
      <c r="Q17" s="9" t="n"/>
      <c r="R17" s="8" t="n"/>
      <c r="S17" s="8" t="n"/>
      <c r="T17" s="8" t="n"/>
      <c r="U17" s="8" t="n"/>
      <c r="V17" s="8" t="n"/>
      <c r="W17" s="9" t="n"/>
      <c r="X17" s="9" t="n"/>
      <c r="Y17" s="8" t="n"/>
      <c r="Z17" s="8" t="n"/>
      <c r="AA17" s="8" t="n"/>
      <c r="AB17" s="8" t="n"/>
      <c r="AC17" s="8" t="n"/>
    </row>
    <row r="18">
      <c r="A18" s="5" t="inlineStr">
        <is>
          <t>5. Medios de pago</t>
        </is>
      </c>
      <c r="B18" s="5" t="n"/>
      <c r="C18" s="6" t="n"/>
      <c r="D18" s="7">
        <f>MIN(D19:D20)</f>
        <v/>
      </c>
      <c r="E18" s="7">
        <f>MAX(E19:E20)</f>
        <v/>
      </c>
      <c r="F18" s="6">
        <f>NETWORKDAYS(D18,E18)</f>
        <v/>
      </c>
      <c r="G18" s="8" t="n"/>
      <c r="H18" s="8" t="n"/>
      <c r="I18" s="9" t="n"/>
      <c r="J18" s="9" t="n"/>
      <c r="K18" s="8" t="n"/>
      <c r="L18" s="8" t="n"/>
      <c r="M18" s="8" t="n"/>
      <c r="N18" s="8" t="n"/>
      <c r="O18" s="8" t="n"/>
      <c r="P18" s="9" t="n"/>
      <c r="Q18" s="9" t="n"/>
      <c r="R18" s="8" t="n"/>
      <c r="S18" s="8" t="n"/>
      <c r="T18" s="8" t="n"/>
      <c r="U18" s="8" t="n"/>
      <c r="V18" s="8" t="n"/>
      <c r="W18" s="9" t="n"/>
      <c r="X18" s="9" t="n"/>
      <c r="Y18" s="8" t="n"/>
      <c r="Z18" s="8" t="n"/>
      <c r="AA18" s="8" t="n"/>
      <c r="AB18" s="8" t="n"/>
      <c r="AC18" s="8" t="n"/>
    </row>
    <row r="19">
      <c r="A19" s="10" t="inlineStr">
        <is>
          <t>Obtener credenciales de Transbank y MercadoPago</t>
        </is>
      </c>
      <c r="B19" s="11" t="inlineStr">
        <is>
          <t>Ingenio Blocks</t>
        </is>
      </c>
      <c r="C19" s="11" t="inlineStr">
        <is>
          <t>Pendiente</t>
        </is>
      </c>
      <c r="D19" s="12" t="n">
        <v>46230</v>
      </c>
      <c r="E19" s="12" t="n">
        <v>46238</v>
      </c>
      <c r="F19" s="11">
        <f>NETWORKDAYS(D19,E19)</f>
        <v/>
      </c>
      <c r="G19" s="8" t="n"/>
      <c r="H19" s="8" t="n"/>
      <c r="I19" s="9" t="n"/>
      <c r="J19" s="9" t="n"/>
      <c r="K19" s="8" t="n"/>
      <c r="L19" s="8" t="n"/>
      <c r="M19" s="8" t="n"/>
      <c r="N19" s="8" t="n"/>
      <c r="O19" s="8" t="n"/>
      <c r="P19" s="9" t="n"/>
      <c r="Q19" s="9" t="n"/>
      <c r="R19" s="8" t="n"/>
      <c r="S19" s="8" t="n"/>
      <c r="T19" s="8" t="n"/>
      <c r="U19" s="8" t="n"/>
      <c r="V19" s="8" t="n"/>
      <c r="W19" s="9" t="n"/>
      <c r="X19" s="9" t="n"/>
      <c r="Y19" s="8" t="n"/>
      <c r="Z19" s="8" t="n"/>
      <c r="AA19" s="8" t="n"/>
      <c r="AB19" s="8" t="n"/>
      <c r="AC19" s="8" t="n"/>
    </row>
    <row r="20">
      <c r="A20" s="10" t="inlineStr">
        <is>
          <t>Conectar los pagos reales al sitio</t>
        </is>
      </c>
      <c r="B20" s="11" t="inlineStr">
        <is>
          <t>Desarrollo</t>
        </is>
      </c>
      <c r="C20" s="11" t="inlineStr">
        <is>
          <t>Pendiente</t>
        </is>
      </c>
      <c r="D20" s="12" t="n">
        <v>46238</v>
      </c>
      <c r="E20" s="12" t="n">
        <v>46239</v>
      </c>
      <c r="F20" s="11">
        <f>NETWORKDAYS(D20,E20)</f>
        <v/>
      </c>
      <c r="G20" s="8" t="n"/>
      <c r="H20" s="8" t="n"/>
      <c r="I20" s="9" t="n"/>
      <c r="J20" s="9" t="n"/>
      <c r="K20" s="8" t="n"/>
      <c r="L20" s="8" t="n"/>
      <c r="M20" s="8" t="n"/>
      <c r="N20" s="8" t="n"/>
      <c r="O20" s="8" t="n"/>
      <c r="P20" s="9" t="n"/>
      <c r="Q20" s="9" t="n"/>
      <c r="R20" s="8" t="n"/>
      <c r="S20" s="8" t="n"/>
      <c r="T20" s="8" t="n"/>
      <c r="U20" s="8" t="n"/>
      <c r="V20" s="8" t="n"/>
      <c r="W20" s="9" t="n"/>
      <c r="X20" s="9" t="n"/>
      <c r="Y20" s="8" t="n"/>
      <c r="Z20" s="8" t="n"/>
      <c r="AA20" s="8" t="n"/>
      <c r="AB20" s="8" t="n"/>
      <c r="AC20" s="8" t="n"/>
    </row>
    <row r="21">
      <c r="A21" s="5" t="inlineStr">
        <is>
          <t>6. Pruebas y entrega</t>
        </is>
      </c>
      <c r="B21" s="5" t="n"/>
      <c r="C21" s="6" t="n"/>
      <c r="D21" s="7">
        <f>MIN(D22:D25)</f>
        <v/>
      </c>
      <c r="E21" s="7">
        <f>MAX(E22:E25)</f>
        <v/>
      </c>
      <c r="F21" s="6">
        <f>NETWORKDAYS(D21,E21)</f>
        <v/>
      </c>
      <c r="G21" s="8" t="n"/>
      <c r="H21" s="8" t="n"/>
      <c r="I21" s="9" t="n"/>
      <c r="J21" s="9" t="n"/>
      <c r="K21" s="8" t="n"/>
      <c r="L21" s="8" t="n"/>
      <c r="M21" s="8" t="n"/>
      <c r="N21" s="8" t="n"/>
      <c r="O21" s="8" t="n"/>
      <c r="P21" s="9" t="n"/>
      <c r="Q21" s="9" t="n"/>
      <c r="R21" s="8" t="n"/>
      <c r="S21" s="8" t="n"/>
      <c r="T21" s="8" t="n"/>
      <c r="U21" s="8" t="n"/>
      <c r="V21" s="8" t="n"/>
      <c r="W21" s="9" t="n"/>
      <c r="X21" s="9" t="n"/>
      <c r="Y21" s="8" t="n"/>
      <c r="Z21" s="8" t="n"/>
      <c r="AA21" s="8" t="n"/>
      <c r="AB21" s="8" t="n"/>
      <c r="AC21" s="8" t="n"/>
    </row>
    <row r="22">
      <c r="A22" s="10" t="inlineStr">
        <is>
          <t>Compra de prueba de principio a fin</t>
        </is>
      </c>
      <c r="B22" s="11" t="inlineStr">
        <is>
          <t>Desarrollo</t>
        </is>
      </c>
      <c r="C22" s="11" t="inlineStr">
        <is>
          <t>Pendiente</t>
        </is>
      </c>
      <c r="D22" s="12" t="n">
        <v>46239</v>
      </c>
      <c r="E22" s="12" t="n">
        <v>46240</v>
      </c>
      <c r="F22" s="11">
        <f>NETWORKDAYS(D22,E22)</f>
        <v/>
      </c>
      <c r="G22" s="8" t="n"/>
      <c r="H22" s="8" t="n"/>
      <c r="I22" s="9" t="n"/>
      <c r="J22" s="9" t="n"/>
      <c r="K22" s="8" t="n"/>
      <c r="L22" s="8" t="n"/>
      <c r="M22" s="8" t="n"/>
      <c r="N22" s="8" t="n"/>
      <c r="O22" s="8" t="n"/>
      <c r="P22" s="9" t="n"/>
      <c r="Q22" s="9" t="n"/>
      <c r="R22" s="8" t="n"/>
      <c r="S22" s="8" t="n"/>
      <c r="T22" s="8" t="n"/>
      <c r="U22" s="8" t="n"/>
      <c r="V22" s="8" t="n"/>
      <c r="W22" s="9" t="n"/>
      <c r="X22" s="9" t="n"/>
      <c r="Y22" s="8" t="n"/>
      <c r="Z22" s="8" t="n"/>
      <c r="AA22" s="8" t="n"/>
      <c r="AB22" s="8" t="n"/>
      <c r="AC22" s="8" t="n"/>
    </row>
    <row r="23">
      <c r="A23" s="10" t="inlineStr">
        <is>
          <t>Revisión final en celular y computador</t>
        </is>
      </c>
      <c r="B23" s="11" t="inlineStr">
        <is>
          <t>Ambos</t>
        </is>
      </c>
      <c r="C23" s="11" t="inlineStr">
        <is>
          <t>Pendiente</t>
        </is>
      </c>
      <c r="D23" s="12" t="n">
        <v>46240</v>
      </c>
      <c r="E23" s="12" t="n">
        <v>46240</v>
      </c>
      <c r="F23" s="11">
        <f>NETWORKDAYS(D23,E23)</f>
        <v/>
      </c>
      <c r="G23" s="8" t="n"/>
      <c r="H23" s="8" t="n"/>
      <c r="I23" s="9" t="n"/>
      <c r="J23" s="9" t="n"/>
      <c r="K23" s="8" t="n"/>
      <c r="L23" s="8" t="n"/>
      <c r="M23" s="8" t="n"/>
      <c r="N23" s="8" t="n"/>
      <c r="O23" s="8" t="n"/>
      <c r="P23" s="9" t="n"/>
      <c r="Q23" s="9" t="n"/>
      <c r="R23" s="8" t="n"/>
      <c r="S23" s="8" t="n"/>
      <c r="T23" s="8" t="n"/>
      <c r="U23" s="8" t="n"/>
      <c r="V23" s="8" t="n"/>
      <c r="W23" s="9" t="n"/>
      <c r="X23" s="9" t="n"/>
      <c r="Y23" s="8" t="n"/>
      <c r="Z23" s="8" t="n"/>
      <c r="AA23" s="8" t="n"/>
      <c r="AB23" s="8" t="n"/>
      <c r="AC23" s="8" t="n"/>
    </row>
    <row r="24">
      <c r="A24" s="10" t="inlineStr">
        <is>
          <t>Capacitación del panel</t>
        </is>
      </c>
      <c r="B24" s="11" t="inlineStr">
        <is>
          <t>Desarrollo</t>
        </is>
      </c>
      <c r="C24" s="11" t="inlineStr">
        <is>
          <t>Pendiente</t>
        </is>
      </c>
      <c r="D24" s="12" t="n">
        <v>46241</v>
      </c>
      <c r="E24" s="12" t="n">
        <v>46241</v>
      </c>
      <c r="F24" s="11">
        <f>NETWORKDAYS(D24,E24)</f>
        <v/>
      </c>
      <c r="G24" s="8" t="n"/>
      <c r="H24" s="8" t="n"/>
      <c r="I24" s="9" t="n"/>
      <c r="J24" s="9" t="n"/>
      <c r="K24" s="8" t="n"/>
      <c r="L24" s="8" t="n"/>
      <c r="M24" s="8" t="n"/>
      <c r="N24" s="8" t="n"/>
      <c r="O24" s="8" t="n"/>
      <c r="P24" s="9" t="n"/>
      <c r="Q24" s="9" t="n"/>
      <c r="R24" s="8" t="n"/>
      <c r="S24" s="8" t="n"/>
      <c r="T24" s="8" t="n"/>
      <c r="U24" s="8" t="n"/>
      <c r="V24" s="8" t="n"/>
      <c r="W24" s="9" t="n"/>
      <c r="X24" s="9" t="n"/>
      <c r="Y24" s="8" t="n"/>
      <c r="Z24" s="8" t="n"/>
      <c r="AA24" s="8" t="n"/>
      <c r="AB24" s="8" t="n"/>
      <c r="AC24" s="8" t="n"/>
    </row>
    <row r="25">
      <c r="A25" s="10" t="inlineStr">
        <is>
          <t>Entrega del proyecto</t>
        </is>
      </c>
      <c r="B25" s="11" t="inlineStr">
        <is>
          <t>-</t>
        </is>
      </c>
      <c r="C25" s="11" t="inlineStr">
        <is>
          <t>Pendiente</t>
        </is>
      </c>
      <c r="D25" s="12" t="n">
        <v>46241</v>
      </c>
      <c r="E25" s="12" t="n">
        <v>46241</v>
      </c>
      <c r="F25" s="11">
        <f>NETWORKDAYS(D25,E25)</f>
        <v/>
      </c>
      <c r="G25" s="8" t="n"/>
      <c r="H25" s="8" t="n"/>
      <c r="I25" s="9" t="n"/>
      <c r="J25" s="9" t="n"/>
      <c r="K25" s="8" t="n"/>
      <c r="L25" s="8" t="n"/>
      <c r="M25" s="8" t="n"/>
      <c r="N25" s="8" t="n"/>
      <c r="O25" s="8" t="n"/>
      <c r="P25" s="9" t="n"/>
      <c r="Q25" s="9" t="n"/>
      <c r="R25" s="8" t="n"/>
      <c r="S25" s="8" t="n"/>
      <c r="T25" s="8" t="n"/>
      <c r="U25" s="8" t="n"/>
      <c r="V25" s="8" t="n"/>
      <c r="W25" s="9" t="n"/>
      <c r="X25" s="9" t="n"/>
      <c r="Y25" s="8" t="n"/>
      <c r="Z25" s="8" t="n"/>
      <c r="AA25" s="8" t="n"/>
      <c r="AB25" s="8" t="n"/>
      <c r="AC25" s="8" t="n"/>
    </row>
    <row r="27">
      <c r="A27" s="13" t="inlineStr">
        <is>
          <t>Leyenda:</t>
        </is>
      </c>
    </row>
    <row r="28">
      <c r="A28" s="14" t="n"/>
      <c r="B28" s="15" t="inlineStr">
        <is>
          <t>Ya terminado</t>
        </is>
      </c>
    </row>
    <row r="29">
      <c r="A29" s="16" t="n"/>
      <c r="B29" s="15" t="inlineStr">
        <is>
          <t>Trabajo planificado</t>
        </is>
      </c>
    </row>
    <row r="30">
      <c r="A30" s="17" t="n"/>
      <c r="B30" s="15" t="inlineStr">
        <is>
          <t>Depende de un tercero (puede atrasarse)</t>
        </is>
      </c>
    </row>
    <row r="31">
      <c r="A31" s="18" t="n"/>
      <c r="B31" s="15" t="inlineStr">
        <is>
          <t>Entrega</t>
        </is>
      </c>
    </row>
    <row r="32">
      <c r="A32" s="9" t="n"/>
      <c r="B32" s="15" t="inlineStr">
        <is>
          <t>Fin de semana</t>
        </is>
      </c>
    </row>
    <row r="34">
      <c r="A34" s="19" t="inlineStr">
        <is>
          <t>Nota: las credenciales de Transbank y MercadoPago las aprueba cada empresa; ese plazo no depende de nosotros.</t>
        </is>
      </c>
    </row>
  </sheetData>
  <conditionalFormatting sqref="G5:AC5 G8:AC8 G11:AC11 G14:AC14 G18:AC18 G21:AC21">
    <cfRule type="expression" priority="1" dxfId="0" stopIfTrue="1">
      <formula>AND($D5&lt;&gt;"",G$4&gt;=$D5,G$4&lt;=$E5)</formula>
    </cfRule>
  </conditionalFormatting>
  <conditionalFormatting sqref="G6:AC6 G7:AC7 G9:AC9 G10:AC10 G12:AC12">
    <cfRule type="expression" priority="2" dxfId="1" stopIfTrue="1">
      <formula>AND($D6&lt;&gt;"",G$4&gt;=$D6,G$4&lt;=$E6)</formula>
    </cfRule>
  </conditionalFormatting>
  <conditionalFormatting sqref="G13:AC13 G15:AC15 G16:AC16 G20:AC20 G22:AC22 G23:AC23 G24:AC24">
    <cfRule type="expression" priority="3" dxfId="2" stopIfTrue="1">
      <formula>AND($D13&lt;&gt;"",G$4&gt;=$D13,G$4&lt;=$E13)</formula>
    </cfRule>
  </conditionalFormatting>
  <conditionalFormatting sqref="G17:AC17 G19:AC19">
    <cfRule type="expression" priority="4" dxfId="3" stopIfTrue="1">
      <formula>AND($D17&lt;&gt;"",G$4&gt;=$D17,G$4&lt;=$E17)</formula>
    </cfRule>
  </conditionalFormatting>
  <conditionalFormatting sqref="G25:AC25">
    <cfRule type="expression" priority="5" dxfId="4" stopIfTrue="1">
      <formula>AND($D25&lt;&gt;"",G$4&gt;=$D25,G$4&lt;=$E25)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2026-07-23T12:24:43Z</dcterms:created>
  <dcterms:modified xsi:type="dcterms:W3CDTF">2026-07-23T12:24:43Z</dcterms:modified>
</cp:coreProperties>
</file>